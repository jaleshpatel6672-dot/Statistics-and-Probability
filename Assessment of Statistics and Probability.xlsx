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200" activeTab="1"/>
  </bookViews>
  <sheets>
    <sheet name="Q1 Z-Test Means" sheetId="1" r:id="rId1"/>
    <sheet name="Q2 Chi Squa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<sst xmlns="http://schemas.openxmlformats.org/spreadsheetml/2006/main" count="43" uniqueCount="25">
  <si>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Two Sample Z-Test (5% Level of Significance)</t>
  </si>
  <si>
    <t/>
  </si>
  <si>
    <t>Group</t>
  </si>
  <si>
    <t>Girls</t>
  </si>
  <si>
    <t>Boys</t>
  </si>
  <si>
    <t>Mean</t>
  </si>
  <si>
    <t>Std Dev</t>
  </si>
  <si>
    <t>Sample Size</t>
  </si>
  <si>
    <t>Difference in Means</t>
  </si>
  <si>
    <t>Standard Error</t>
  </si>
  <si>
    <t>Z Statistic</t>
  </si>
  <si>
    <t>Critical Z (5% two tailed)</t>
  </si>
  <si>
    <t>Conclusion</t>
  </si>
  <si>
    <t>Chi-Square Test: Smoking and Cancer</t>
  </si>
  <si>
    <t>Cancer</t>
  </si>
  <si>
    <t>No Cancer</t>
  </si>
  <si>
    <t>Total</t>
  </si>
  <si>
    <t>Smokers</t>
  </si>
  <si>
    <t>Non-Smokers</t>
  </si>
  <si>
    <t>Expected (Smokers-Cancer)</t>
  </si>
  <si>
    <t>Expected (Smokers-No Cancer)</t>
  </si>
  <si>
    <t>Expected (NonSmokers-Cancer)</t>
  </si>
  <si>
    <t>Expected (NonSmokers-No Cancer)</t>
  </si>
  <si>
    <t>Chi Square</t>
  </si>
  <si>
    <t>Critical Value (df=1,5%)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</si>
</sst>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.5" outlineLevelCol="2"/>
  <cols>
    <col min="1" max="1" width="41.7272727272727" customWidth="1"/>
  </cols>
  <sheetData>
    <row r="1" spans="1:2">
      <c r="A1" t="s">
        <v>0</v>
      </c>
      <c r="B1" t="s">
        <v>1</v>
      </c>
    </row>
    <row r="2" spans="1:2">
      <c r="A2" t="s">
        <v>1</v>
      </c>
      <c r="B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 t="s">
        <v>5</v>
      </c>
      <c r="B4">
        <v>89</v>
      </c>
      <c r="C4">
        <v>82</v>
      </c>
    </row>
    <row r="5" spans="1:3">
      <c r="A5" t="s">
        <v>6</v>
      </c>
      <c r="B5">
        <v>4</v>
      </c>
      <c r="C5">
        <v>9</v>
      </c>
    </row>
    <row r="6" spans="1:3">
      <c r="A6" t="s">
        <v>7</v>
      </c>
      <c r="B6">
        <v>50</v>
      </c>
      <c r="C6">
        <v>120</v>
      </c>
    </row>
    <row r="7" spans="1:2">
      <c r="A7" t="s">
        <v>1</v>
      </c>
      <c r="B7" t="s">
        <v>1</v>
      </c>
    </row>
    <row r="8" spans="1:2">
      <c r="A8" t="s">
        <v>8</v>
      </c>
      <c r="B8">
        <f>B4-C4</f>
        <v>7</v>
      </c>
    </row>
    <row r="9" spans="1:2">
      <c r="A9" t="s">
        <v>9</v>
      </c>
      <c r="B9">
        <f>SQRT((B5^2/B6)+(C5^2/C6))</f>
        <v>0.997496867163</v>
      </c>
    </row>
    <row r="10" spans="1:2">
      <c r="A10" t="s">
        <v>10</v>
      </c>
      <c r="B10">
        <f>B8/B9</f>
        <v>7.0175658996392</v>
      </c>
    </row>
    <row r="11" spans="1:2">
      <c r="A11" t="s">
        <v>11</v>
      </c>
      <c r="B11">
        <v>1.96</v>
      </c>
    </row>
    <row r="12" spans="1:2">
      <c r="A12" t="s">
        <v>12</v>
      </c>
      <c r="B12" t="str">
        <f>IF(ABS(B10)&gt;B11,"Reject H0: Significant Difference","Fail to Reject H0")</f>
        <v>Reject H0: Significant Difference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" sqref="A1"/>
    </sheetView>
  </sheetViews>
  <sheetFormatPr defaultColWidth="9" defaultRowHeight="14.5" outlineLevelCol="3"/>
  <cols>
    <col min="1" max="1" width="35.1818181818182" customWidth="1"/>
    <col min="2" max="2" width="13" customWidth="1"/>
  </cols>
  <sheetData>
    <row r="1" spans="1:2">
      <c r="A1" t="s">
        <v>13</v>
      </c>
      <c r="B1" t="s">
        <v>1</v>
      </c>
    </row>
    <row r="2" spans="1:2">
      <c r="A2" t="s">
        <v>1</v>
      </c>
      <c r="B2" t="s">
        <v>1</v>
      </c>
    </row>
    <row r="3" spans="1:4">
      <c r="A3" t="s">
        <v>1</v>
      </c>
      <c r="B3" t="s">
        <v>14</v>
      </c>
      <c r="C3" t="s">
        <v>15</v>
      </c>
      <c r="D3" t="s">
        <v>16</v>
      </c>
    </row>
    <row r="4" spans="1:4">
      <c r="A4" t="s">
        <v>17</v>
      </c>
      <c r="B4">
        <v>220</v>
      </c>
      <c r="C4">
        <v>230</v>
      </c>
      <c r="D4">
        <f>B4+C4</f>
        <v>450</v>
      </c>
    </row>
    <row r="5" spans="1:4">
      <c r="A5" t="s">
        <v>18</v>
      </c>
      <c r="B5">
        <v>350</v>
      </c>
      <c r="C5">
        <v>640</v>
      </c>
      <c r="D5">
        <f>B5+C5</f>
        <v>990</v>
      </c>
    </row>
    <row r="6" spans="1:4">
      <c r="A6" t="s">
        <v>16</v>
      </c>
      <c r="B6">
        <f>B4+B5</f>
        <v>570</v>
      </c>
      <c r="C6">
        <f>C4+C5</f>
        <v>870</v>
      </c>
      <c r="D6">
        <f>D4+D5</f>
        <v>1440</v>
      </c>
    </row>
    <row r="7" spans="1:4">
      <c r="A7" t="s">
        <v>1</v>
      </c>
      <c r="B7" t="s">
        <v>1</v>
      </c>
      <c r="C7" t="s">
        <v>1</v>
      </c>
      <c r="D7" t="s">
        <v>1</v>
      </c>
    </row>
    <row r="8" spans="1:2">
      <c r="A8" t="s">
        <v>19</v>
      </c>
      <c r="B8">
        <f>(D4*B6)/D6</f>
        <v>178.125</v>
      </c>
    </row>
    <row r="9" spans="1:2">
      <c r="A9" t="s">
        <v>20</v>
      </c>
      <c r="B9">
        <f>(D4*C6)/D6</f>
        <v>271.875</v>
      </c>
    </row>
    <row r="10" spans="1:2">
      <c r="A10" t="s">
        <v>21</v>
      </c>
      <c r="B10">
        <f>(D5*B6)/D6</f>
        <v>391.875</v>
      </c>
    </row>
    <row r="11" spans="1:2">
      <c r="A11" t="s">
        <v>22</v>
      </c>
      <c r="B11">
        <f>(D5*C6)/D6</f>
        <v>598.125</v>
      </c>
    </row>
    <row r="12" spans="1:4">
      <c r="A12" t="s">
        <v>1</v>
      </c>
      <c r="B12" t="s">
        <v>1</v>
      </c>
      <c r="C12" t="s">
        <v>1</v>
      </c>
      <c r="D12" t="s">
        <v>1</v>
      </c>
    </row>
    <row r="13" spans="1:2">
      <c r="A13" t="s">
        <v>23</v>
      </c>
      <c r="B13">
        <f>((B4-B8)^2/B8)+((C4-B9)^2/B9)+((B5-B10)^2/B10)+((C5-B11)^2/B11)</f>
        <v>23.7003794753341</v>
      </c>
    </row>
    <row r="14" spans="1:2">
      <c r="A14" t="s">
        <v>24</v>
      </c>
      <c r="B14">
        <v>3.84</v>
      </c>
    </row>
    <row r="15" spans="1:2">
      <c r="A15" t="s">
        <v>12</v>
      </c>
      <c r="B15" t="str">
        <f>IF(B13&gt;B14,"Reject H0: Smoking related to Cancer","Fail to Reject H0")</f>
        <v>Reject H0: Smoking related to Cancer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Q1 Z-Test Means</vt:lpstr>
      <vt:lpstr>Q2 Chi Square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jales</cp:lastModifiedBy>
  <dcterms:created xsi:type="dcterms:W3CDTF">2026-03-07T11:08:00Z</dcterms:created>
  <dcterms:modified xsi:type="dcterms:W3CDTF">2026-03-07T11:12:04Z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2602B2F114AC4E5195C1D2C555EDDD04_13</vt:lpwstr>
  </property>
  <property fmtid="{D5CDD505-2E9C-101B-9397-08002B2CF9AE}" pid="3" name="KSOProductBuildVer">
    <vt:lpwstr>1033-12.2.0.23196</vt:lpwstr>
  </property>
</Properties>
</file>